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0380" windowHeight="45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9" i="1" l="1"/>
  <c r="F37" i="1" l="1"/>
  <c r="H22" i="1"/>
  <c r="H23" i="1" s="1"/>
  <c r="H32" i="1"/>
  <c r="G32" i="1"/>
  <c r="F33" i="1" s="1"/>
  <c r="F32" i="1"/>
  <c r="E28" i="1"/>
  <c r="F34" i="1" s="1"/>
  <c r="H24" i="1" l="1"/>
  <c r="F36" i="1"/>
  <c r="F35" i="1"/>
  <c r="I3" i="1" l="1"/>
  <c r="I5" i="1" l="1"/>
  <c r="J5" i="1"/>
  <c r="J4" i="1"/>
  <c r="J3" i="1"/>
  <c r="E10" i="1"/>
  <c r="E8" i="1"/>
  <c r="E7" i="1"/>
</calcChain>
</file>

<file path=xl/sharedStrings.xml><?xml version="1.0" encoding="utf-8"?>
<sst xmlns="http://schemas.openxmlformats.org/spreadsheetml/2006/main" count="76" uniqueCount="49">
  <si>
    <t xml:space="preserve">Activities </t>
  </si>
  <si>
    <t>Effort (Hours)</t>
  </si>
  <si>
    <t>Application Study</t>
  </si>
  <si>
    <t>Test Planning and Strategy</t>
  </si>
  <si>
    <t>Script Development</t>
  </si>
  <si>
    <t>Review Effort</t>
  </si>
  <si>
    <t>Integration Effort</t>
  </si>
  <si>
    <t>Test Data Effort</t>
  </si>
  <si>
    <t>Automation Test suite execution</t>
  </si>
  <si>
    <t>Test Management Effort</t>
  </si>
  <si>
    <t>Test Governance</t>
  </si>
  <si>
    <t>Total Effort (Hours)</t>
  </si>
  <si>
    <t>Total $</t>
  </si>
  <si>
    <t>Total Estimated Offshore Hours</t>
  </si>
  <si>
    <t>Total Estimated Onsite Hours</t>
  </si>
  <si>
    <t>Hrs left to be adjusted(for Abhishek Gupta)</t>
  </si>
  <si>
    <t xml:space="preserve">Offshore Efforts Remaining </t>
  </si>
  <si>
    <t xml:space="preserve">Onsite Efforts Remaining </t>
  </si>
  <si>
    <t>Remaining $</t>
  </si>
  <si>
    <t>Estimated Test scripts</t>
  </si>
  <si>
    <t>Count</t>
  </si>
  <si>
    <t>Effort(hrs)</t>
  </si>
  <si>
    <t>Tentative Test scripts delivery excluding Out of scope</t>
  </si>
  <si>
    <t>Total ($) Consumed</t>
  </si>
  <si>
    <t>Projected Cost($)</t>
  </si>
  <si>
    <t>Additional of Maintenance of 84 Scripts</t>
  </si>
  <si>
    <t>Total hrs should be charged including Maintenance</t>
  </si>
  <si>
    <t>ParMed</t>
  </si>
  <si>
    <t>Complexity</t>
  </si>
  <si>
    <t>Total Scripts</t>
  </si>
  <si>
    <t>Scripts Impacted</t>
  </si>
  <si>
    <t>High</t>
  </si>
  <si>
    <t>Medium</t>
  </si>
  <si>
    <t>Low</t>
  </si>
  <si>
    <t>Average Maintenance Productivity (PD)</t>
  </si>
  <si>
    <t>Activities</t>
  </si>
  <si>
    <t>Effort (Hrs.)</t>
  </si>
  <si>
    <t>Maintenance Effort Required</t>
  </si>
  <si>
    <t>Total (Hrs.)</t>
  </si>
  <si>
    <t>Test Data Setup</t>
  </si>
  <si>
    <t>Dry Run From ALM</t>
  </si>
  <si>
    <t>Component Development</t>
  </si>
  <si>
    <t>Review &amp; Implementation Effort</t>
  </si>
  <si>
    <t>Efforts(PD)</t>
  </si>
  <si>
    <t>Total Efforts Required(PD)</t>
  </si>
  <si>
    <t>Total Efforts Required(hrs)</t>
  </si>
  <si>
    <t>Total Offshore Hours Charged till last week(10th June)</t>
  </si>
  <si>
    <t>Total Onsite Hours Charged till last week(10th June)</t>
  </si>
  <si>
    <t>New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</si>
</sst>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</fonts>
  <fills count="11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/>
    <xf numFmtId="0" fontId="4" fillId="6" borderId="6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4" borderId="3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 wrapText="1"/>
    </xf>
    <xf numFmtId="2" fontId="1" fillId="10" borderId="9" xfId="0" applyNumberFormat="1" applyFont="1" applyFill="1" applyBorder="1" applyAlignment="1">
      <alignment horizontal="center" vertical="center" wrapText="1"/>
    </xf>
    <xf numFmtId="2" fontId="1" fillId="10" borderId="11" xfId="0" applyNumberFormat="1" applyFont="1" applyFill="1" applyBorder="1" applyAlignment="1">
      <alignment horizontal="center" vertical="center" wrapText="1"/>
    </xf>
    <xf numFmtId="2" fontId="1" fillId="10" borderId="10" xfId="0" applyNumberFormat="1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2" fontId="1" fillId="9" borderId="9" xfId="0" applyNumberFormat="1" applyFont="1" applyFill="1" applyBorder="1" applyAlignment="1">
      <alignment horizontal="center" vertical="center" wrapText="1"/>
    </xf>
    <xf numFmtId="2" fontId="1" fillId="9" borderId="11" xfId="0" applyNumberFormat="1" applyFont="1" applyFill="1" applyBorder="1" applyAlignment="1">
      <alignment horizontal="center" vertical="center" wrapText="1"/>
    </xf>
    <xf numFmtId="2" fontId="1" fillId="9" borderId="1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topLeftCell="C10" workbookViewId="0">
      <selection activeCell="I27" sqref="I27"/>
    </sheetView>
  </sheetViews>
  <sheetFormatPr defaultRowHeight="15" x14ac:dyDescent="0.25"/>
  <cols>
    <col min="1" max="1" width="26" customWidth="1"/>
    <col min="2" max="2" width="35.7109375" customWidth="1"/>
    <col min="4" max="4" width="29.85546875" customWidth="1"/>
    <col min="5" max="5" width="33.140625" customWidth="1"/>
    <col min="7" max="7" width="37" customWidth="1"/>
    <col min="8" max="8" width="17.85546875" customWidth="1"/>
    <col min="9" max="9" width="22.7109375" customWidth="1"/>
    <col min="10" max="10" width="16.28515625" customWidth="1"/>
  </cols>
  <sheetData>
    <row r="1" spans="1:10" ht="26.25" thickBot="1" x14ac:dyDescent="0.3">
      <c r="A1" s="1" t="s">
        <v>0</v>
      </c>
      <c r="B1" s="2" t="s">
        <v>1</v>
      </c>
      <c r="D1" s="1" t="s">
        <v>0</v>
      </c>
      <c r="E1" s="2" t="s">
        <v>1</v>
      </c>
      <c r="G1" s="1" t="s">
        <v>0</v>
      </c>
      <c r="H1" s="12" t="s">
        <v>20</v>
      </c>
      <c r="I1" s="12" t="s">
        <v>21</v>
      </c>
      <c r="J1" s="12" t="s">
        <v>24</v>
      </c>
    </row>
    <row r="2" spans="1:10" ht="15.75" thickBot="1" x14ac:dyDescent="0.3">
      <c r="A2" s="3" t="s">
        <v>2</v>
      </c>
      <c r="B2" s="4">
        <v>35</v>
      </c>
      <c r="D2" s="3" t="s">
        <v>13</v>
      </c>
      <c r="E2" s="4">
        <v>1653.01</v>
      </c>
      <c r="G2" s="13" t="s">
        <v>19</v>
      </c>
      <c r="H2" s="13">
        <v>201</v>
      </c>
      <c r="I2" s="13">
        <v>1655</v>
      </c>
      <c r="J2" s="13">
        <v>38379</v>
      </c>
    </row>
    <row r="3" spans="1:10" ht="30.75" thickBot="1" x14ac:dyDescent="0.3">
      <c r="A3" s="5" t="s">
        <v>3</v>
      </c>
      <c r="B3" s="6">
        <v>35</v>
      </c>
      <c r="D3" s="3" t="s">
        <v>14</v>
      </c>
      <c r="E3" s="6">
        <v>80</v>
      </c>
      <c r="G3" s="14" t="s">
        <v>22</v>
      </c>
      <c r="H3" s="16">
        <v>138</v>
      </c>
      <c r="I3" s="16">
        <f>1083+55</f>
        <v>1138</v>
      </c>
      <c r="J3" s="16">
        <f>(1090*21)+(56*66.3)</f>
        <v>26602.799999999999</v>
      </c>
    </row>
    <row r="4" spans="1:10" ht="26.25" thickBot="1" x14ac:dyDescent="0.3">
      <c r="A4" s="5" t="s">
        <v>4</v>
      </c>
      <c r="B4" s="6">
        <v>1287</v>
      </c>
      <c r="D4" s="3" t="s">
        <v>46</v>
      </c>
      <c r="E4" s="6">
        <v>1432.5</v>
      </c>
      <c r="G4" s="13" t="s">
        <v>25</v>
      </c>
      <c r="H4" s="16">
        <v>84</v>
      </c>
      <c r="I4" s="16">
        <v>157</v>
      </c>
      <c r="J4" s="16">
        <f>157*21</f>
        <v>3297</v>
      </c>
    </row>
    <row r="5" spans="1:10" ht="30.75" thickBot="1" x14ac:dyDescent="0.3">
      <c r="A5" s="5" t="s">
        <v>5</v>
      </c>
      <c r="B5" s="6">
        <v>102.96</v>
      </c>
      <c r="D5" s="3" t="s">
        <v>47</v>
      </c>
      <c r="E5" s="6">
        <v>26</v>
      </c>
      <c r="G5" s="15" t="s">
        <v>26</v>
      </c>
      <c r="H5" s="13"/>
      <c r="I5" s="16">
        <f>I3+I4</f>
        <v>1295</v>
      </c>
      <c r="J5" s="16">
        <f>J3+J4</f>
        <v>29899.8</v>
      </c>
    </row>
    <row r="6" spans="1:10" ht="26.25" thickBot="1" x14ac:dyDescent="0.3">
      <c r="A6" s="5" t="s">
        <v>6</v>
      </c>
      <c r="B6" s="6">
        <v>64.349999999999994</v>
      </c>
      <c r="D6" s="5" t="s">
        <v>15</v>
      </c>
      <c r="E6" s="17">
        <v>131.25</v>
      </c>
    </row>
    <row r="7" spans="1:10" ht="15.75" thickBot="1" x14ac:dyDescent="0.3">
      <c r="A7" s="7" t="s">
        <v>7</v>
      </c>
      <c r="B7" s="8">
        <v>25.74</v>
      </c>
      <c r="D7" s="7" t="s">
        <v>16</v>
      </c>
      <c r="E7" s="8">
        <f>E2-SUM(E4,E6)</f>
        <v>89.259999999999991</v>
      </c>
    </row>
    <row r="8" spans="1:10" ht="15.75" thickBot="1" x14ac:dyDescent="0.3">
      <c r="A8" s="7" t="s">
        <v>8</v>
      </c>
      <c r="B8" s="8">
        <v>102.96</v>
      </c>
      <c r="D8" s="7" t="s">
        <v>17</v>
      </c>
      <c r="E8" s="8">
        <f>E3-E5</f>
        <v>54</v>
      </c>
    </row>
    <row r="9" spans="1:10" ht="15.75" thickBot="1" x14ac:dyDescent="0.3">
      <c r="A9" s="7" t="s">
        <v>9</v>
      </c>
      <c r="B9" s="8">
        <v>80</v>
      </c>
      <c r="D9" s="9" t="s">
        <v>23</v>
      </c>
      <c r="E9" s="11">
        <f>SUM(SUM(E4,E6)*21,E5*66.3)</f>
        <v>34562.550000000003</v>
      </c>
    </row>
    <row r="10" spans="1:10" ht="15.75" thickBot="1" x14ac:dyDescent="0.3">
      <c r="A10" s="7" t="s">
        <v>10</v>
      </c>
      <c r="B10" s="8">
        <v>92</v>
      </c>
      <c r="D10" s="9" t="s">
        <v>18</v>
      </c>
      <c r="E10" s="11">
        <f>(E2*21+E3*66.3)-E9</f>
        <v>5454.6599999999962</v>
      </c>
      <c r="G10" s="16" t="s">
        <v>48</v>
      </c>
      <c r="I10">
        <v>21</v>
      </c>
    </row>
    <row r="11" spans="1:10" ht="15.75" thickBot="1" x14ac:dyDescent="0.3">
      <c r="A11" s="9" t="s">
        <v>11</v>
      </c>
      <c r="B11" s="10">
        <v>1825.01</v>
      </c>
    </row>
    <row r="12" spans="1:10" ht="15.75" thickBot="1" x14ac:dyDescent="0.3">
      <c r="A12" s="9" t="s">
        <v>12</v>
      </c>
      <c r="B12" s="10">
        <v>46970.22</v>
      </c>
      <c r="D12" s="1" t="s">
        <v>0</v>
      </c>
      <c r="E12" s="2" t="s">
        <v>1</v>
      </c>
      <c r="G12" s="1" t="s">
        <v>0</v>
      </c>
      <c r="H12" s="2" t="s">
        <v>1</v>
      </c>
    </row>
    <row r="13" spans="1:10" ht="15.75" thickBot="1" x14ac:dyDescent="0.3">
      <c r="D13" s="3" t="s">
        <v>2</v>
      </c>
      <c r="E13" s="4">
        <v>35</v>
      </c>
      <c r="G13" s="3" t="s">
        <v>2</v>
      </c>
      <c r="H13" s="4">
        <v>12</v>
      </c>
    </row>
    <row r="14" spans="1:10" ht="15.75" thickBot="1" x14ac:dyDescent="0.3">
      <c r="D14" s="5" t="s">
        <v>3</v>
      </c>
      <c r="E14" s="6">
        <v>35</v>
      </c>
      <c r="G14" s="5" t="s">
        <v>3</v>
      </c>
      <c r="H14" s="6">
        <v>12</v>
      </c>
    </row>
    <row r="15" spans="1:10" ht="15.75" thickBot="1" x14ac:dyDescent="0.3">
      <c r="D15" s="5" t="s">
        <v>4</v>
      </c>
      <c r="E15" s="6">
        <v>1287</v>
      </c>
      <c r="G15" s="5" t="s">
        <v>41</v>
      </c>
      <c r="H15" s="6">
        <v>110</v>
      </c>
    </row>
    <row r="16" spans="1:10" ht="15.75" thickBot="1" x14ac:dyDescent="0.3">
      <c r="D16" s="5" t="s">
        <v>5</v>
      </c>
      <c r="E16" s="6">
        <v>102.96</v>
      </c>
      <c r="G16" s="5" t="s">
        <v>42</v>
      </c>
      <c r="H16" s="6">
        <v>30</v>
      </c>
    </row>
    <row r="17" spans="4:10" ht="15.75" thickBot="1" x14ac:dyDescent="0.3">
      <c r="D17" s="5" t="s">
        <v>6</v>
      </c>
      <c r="E17" s="6">
        <v>64.349999999999994</v>
      </c>
      <c r="G17" s="5" t="s">
        <v>6</v>
      </c>
      <c r="H17" s="6">
        <v>30</v>
      </c>
    </row>
    <row r="18" spans="4:10" ht="15.75" thickBot="1" x14ac:dyDescent="0.3">
      <c r="D18" s="7" t="s">
        <v>7</v>
      </c>
      <c r="E18" s="8">
        <v>25.74</v>
      </c>
      <c r="G18" s="7" t="s">
        <v>7</v>
      </c>
      <c r="H18" s="8">
        <v>30</v>
      </c>
    </row>
    <row r="19" spans="4:10" ht="15.75" thickBot="1" x14ac:dyDescent="0.3">
      <c r="D19" s="7" t="s">
        <v>8</v>
      </c>
      <c r="E19" s="8">
        <v>102.96</v>
      </c>
      <c r="G19" s="7" t="s">
        <v>8</v>
      </c>
      <c r="H19" s="8">
        <v>32</v>
      </c>
    </row>
    <row r="20" spans="4:10" ht="15.75" thickBot="1" x14ac:dyDescent="0.3">
      <c r="D20" s="7" t="s">
        <v>9</v>
      </c>
      <c r="E20" s="8">
        <v>80</v>
      </c>
      <c r="G20" s="7" t="s">
        <v>9</v>
      </c>
      <c r="H20" s="8">
        <v>0</v>
      </c>
    </row>
    <row r="21" spans="4:10" ht="15.75" thickBot="1" x14ac:dyDescent="0.3">
      <c r="D21" s="7" t="s">
        <v>10</v>
      </c>
      <c r="E21" s="8">
        <v>92</v>
      </c>
      <c r="G21" s="7" t="s">
        <v>10</v>
      </c>
      <c r="H21" s="8">
        <v>0</v>
      </c>
    </row>
    <row r="22" spans="4:10" ht="15.75" thickBot="1" x14ac:dyDescent="0.3">
      <c r="D22" s="9" t="s">
        <v>11</v>
      </c>
      <c r="E22" s="10">
        <v>1825.01</v>
      </c>
      <c r="G22" s="9" t="s">
        <v>11</v>
      </c>
      <c r="H22" s="10">
        <f>SUM(H13:H21)</f>
        <v>256</v>
      </c>
    </row>
    <row r="23" spans="4:10" ht="15.75" thickBot="1" x14ac:dyDescent="0.3">
      <c r="D23" s="9" t="s">
        <v>12</v>
      </c>
      <c r="E23" s="10">
        <v>46970.22</v>
      </c>
      <c r="G23" s="9" t="s">
        <v>12</v>
      </c>
      <c r="H23" s="10">
        <f>H22*21</f>
        <v>5376</v>
      </c>
    </row>
    <row r="24" spans="4:10" ht="15.75" thickBot="1" x14ac:dyDescent="0.3">
      <c r="G24" s="21" t="s">
        <v>43</v>
      </c>
      <c r="H24" s="23">
        <f>H22/8.75</f>
        <v>29.257142857142856</v>
      </c>
    </row>
    <row r="26" spans="4:10" x14ac:dyDescent="0.25">
      <c r="D26" s="36" t="s">
        <v>27</v>
      </c>
      <c r="E26" s="37"/>
      <c r="F26" s="36" t="s">
        <v>28</v>
      </c>
      <c r="G26" s="38"/>
      <c r="H26" s="37"/>
    </row>
    <row r="27" spans="4:10" x14ac:dyDescent="0.25">
      <c r="D27" s="18" t="s">
        <v>29</v>
      </c>
      <c r="E27" s="18" t="s">
        <v>30</v>
      </c>
      <c r="F27" s="18" t="s">
        <v>31</v>
      </c>
      <c r="G27" s="18" t="s">
        <v>32</v>
      </c>
      <c r="H27" s="18" t="s">
        <v>33</v>
      </c>
    </row>
    <row r="28" spans="4:10" x14ac:dyDescent="0.25">
      <c r="D28" s="19">
        <v>139</v>
      </c>
      <c r="E28" s="19">
        <f>SUM(F28:H28)</f>
        <v>55</v>
      </c>
      <c r="F28" s="19">
        <v>0</v>
      </c>
      <c r="G28" s="19">
        <v>55</v>
      </c>
      <c r="H28" s="19">
        <v>0</v>
      </c>
    </row>
    <row r="29" spans="4:10" x14ac:dyDescent="0.25">
      <c r="D29" s="39" t="s">
        <v>34</v>
      </c>
      <c r="E29" s="40"/>
      <c r="F29" s="19">
        <v>2</v>
      </c>
      <c r="G29" s="19">
        <v>4</v>
      </c>
      <c r="H29" s="19">
        <v>6</v>
      </c>
    </row>
    <row r="30" spans="4:10" x14ac:dyDescent="0.25">
      <c r="D30" s="20"/>
      <c r="E30" s="20"/>
      <c r="F30" s="20"/>
      <c r="G30" s="20"/>
      <c r="H30" s="20"/>
      <c r="J30" s="22"/>
    </row>
    <row r="31" spans="4:10" x14ac:dyDescent="0.25">
      <c r="D31" s="41" t="s">
        <v>35</v>
      </c>
      <c r="E31" s="41"/>
      <c r="F31" s="36" t="s">
        <v>36</v>
      </c>
      <c r="G31" s="38"/>
      <c r="H31" s="37"/>
    </row>
    <row r="32" spans="4:10" x14ac:dyDescent="0.25">
      <c r="D32" s="42" t="s">
        <v>37</v>
      </c>
      <c r="E32" s="42"/>
      <c r="F32" s="19">
        <f>(F28/F29)*8.75</f>
        <v>0</v>
      </c>
      <c r="G32" s="19">
        <f>(G28/G29)*8.75</f>
        <v>120.3125</v>
      </c>
      <c r="H32" s="19">
        <f>(H28/H29)*8.75</f>
        <v>0</v>
      </c>
    </row>
    <row r="33" spans="4:8" x14ac:dyDescent="0.25">
      <c r="D33" s="28" t="s">
        <v>38</v>
      </c>
      <c r="E33" s="28"/>
      <c r="F33" s="29">
        <f>SUM(F32:H32)</f>
        <v>120.3125</v>
      </c>
      <c r="G33" s="30"/>
      <c r="H33" s="31"/>
    </row>
    <row r="34" spans="4:8" x14ac:dyDescent="0.25">
      <c r="D34" s="32" t="s">
        <v>39</v>
      </c>
      <c r="E34" s="32"/>
      <c r="F34" s="33">
        <f>E28*(6/60)</f>
        <v>5.5</v>
      </c>
      <c r="G34" s="34"/>
      <c r="H34" s="35"/>
    </row>
    <row r="35" spans="4:8" x14ac:dyDescent="0.25">
      <c r="D35" s="32" t="s">
        <v>40</v>
      </c>
      <c r="E35" s="32"/>
      <c r="F35" s="33">
        <f>E28*(10/60)</f>
        <v>9.1666666666666661</v>
      </c>
      <c r="G35" s="34"/>
      <c r="H35" s="35"/>
    </row>
    <row r="36" spans="4:8" x14ac:dyDescent="0.25">
      <c r="D36" s="24" t="s">
        <v>45</v>
      </c>
      <c r="E36" s="24"/>
      <c r="F36" s="25">
        <f>SUM(F33:H35)</f>
        <v>134.97916666666666</v>
      </c>
      <c r="G36" s="26"/>
      <c r="H36" s="27"/>
    </row>
    <row r="37" spans="4:8" x14ac:dyDescent="0.25">
      <c r="D37" s="24" t="s">
        <v>44</v>
      </c>
      <c r="E37" s="24"/>
      <c r="F37" s="25">
        <f>F36/8.75</f>
        <v>15.426190476190476</v>
      </c>
      <c r="G37" s="26"/>
      <c r="H37" s="27"/>
    </row>
  </sheetData>
  <mergeCells count="16">
    <mergeCell ref="D32:E32"/>
    <mergeCell ref="D26:E26"/>
    <mergeCell ref="F26:H26"/>
    <mergeCell ref="D29:E29"/>
    <mergeCell ref="D31:E31"/>
    <mergeCell ref="F31:H31"/>
    <mergeCell ref="D36:E36"/>
    <mergeCell ref="F36:H36"/>
    <mergeCell ref="D37:E37"/>
    <mergeCell ref="F37:H37"/>
    <mergeCell ref="D33:E33"/>
    <mergeCell ref="F33:H33"/>
    <mergeCell ref="D34:E34"/>
    <mergeCell ref="F34:H34"/>
    <mergeCell ref="D35:E35"/>
    <mergeCell ref="F35:H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Cardinal Health (EIT Installation)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Biswas, Koushik</dc:creator>
  <cp:lastModifiedBy>Biswas, Koushik</cp:lastModifiedBy>
  <dcterms:created xsi:type="dcterms:W3CDTF">2016-06-07T09:54:27Z</dcterms:created>
  <dcterms:modified xsi:type="dcterms:W3CDTF">2016-06-10T08:07:48Z</dcterms:modified>
</cp:coreProperties>
</file>