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0" windowWidth="10515" windowHeight="4380"/>
  </bookViews>
  <sheets>
    <sheet name="ITG_ParMed" sheetId="11" r:id="rId1"/>
  </sheets>
  <definedNames>
    <definedName name="_xlnm._FilterDatabase" localSheetId="0" hidden="1">ITG_ParMed!$A$3:$P$31</definedName>
  </definedNames>
  <calcPr calcId="145621"/>
</workbook>
</file>

<file path=xl/calcChain.xml><?xml version="1.0" encoding="utf-8"?>
<calcChain xmlns="http://schemas.openxmlformats.org/spreadsheetml/2006/main">
  <c r="N32" i="11" l="1"/>
  <c r="O32" i="11"/>
  <c r="N30" i="11"/>
  <c r="O30" i="11"/>
  <c r="P35" i="11"/>
  <c r="P7" i="11"/>
  <c r="P4" i="11"/>
  <c r="P9" i="11"/>
  <c r="P8" i="11"/>
  <c r="P6" i="11"/>
  <c r="N26" i="11"/>
  <c r="O26" i="11"/>
  <c r="P28" i="11"/>
  <c r="K28" i="11" l="1"/>
  <c r="H28" i="11" l="1"/>
  <c r="I33" i="11" l="1"/>
  <c r="D32" i="11" l="1"/>
  <c r="E32" i="11"/>
  <c r="F32" i="11"/>
  <c r="G32" i="11"/>
  <c r="H32" i="11"/>
  <c r="I32" i="11"/>
  <c r="J32" i="11"/>
  <c r="K32" i="11"/>
  <c r="L32" i="11"/>
  <c r="M32" i="11"/>
  <c r="C32" i="11"/>
  <c r="E29" i="11"/>
  <c r="F29" i="11" s="1"/>
  <c r="G29" i="11" s="1"/>
  <c r="H29" i="11" s="1"/>
  <c r="I29" i="11" s="1"/>
  <c r="J29" i="11" s="1"/>
  <c r="K29" i="11" s="1"/>
  <c r="L29" i="11" s="1"/>
  <c r="M29" i="11" s="1"/>
  <c r="N29" i="11" s="1"/>
  <c r="O29" i="11" s="1"/>
  <c r="D29" i="11"/>
  <c r="C29" i="11"/>
  <c r="P32" i="11" l="1"/>
  <c r="P33" i="11"/>
  <c r="D30" i="11"/>
  <c r="E30" i="11"/>
  <c r="F30" i="11"/>
  <c r="G30" i="11"/>
  <c r="H30" i="11"/>
  <c r="I30" i="11"/>
  <c r="J30" i="11"/>
  <c r="K30" i="11"/>
  <c r="L30" i="11"/>
  <c r="M30" i="11"/>
  <c r="C30" i="11"/>
  <c r="P30" i="11" l="1"/>
  <c r="L26" i="11"/>
  <c r="M26" i="11"/>
  <c r="C34" i="11" l="1"/>
  <c r="K26" i="11"/>
  <c r="P10" i="11"/>
  <c r="D34" i="11" l="1"/>
  <c r="B4" i="11"/>
  <c r="E34" i="11" l="1"/>
  <c r="P20" i="11"/>
  <c r="P21" i="11"/>
  <c r="P22" i="11"/>
  <c r="F34" i="11" l="1"/>
  <c r="C31" i="11"/>
  <c r="D26" i="11"/>
  <c r="E26" i="11"/>
  <c r="C26" i="11"/>
  <c r="P13" i="11"/>
  <c r="P14" i="11"/>
  <c r="P15" i="11"/>
  <c r="P16" i="11"/>
  <c r="P17" i="11"/>
  <c r="P18" i="11"/>
  <c r="P19" i="11"/>
  <c r="D31" i="11" l="1"/>
  <c r="C27" i="11"/>
  <c r="D27" i="11" s="1"/>
  <c r="E27" i="11" s="1"/>
  <c r="P5" i="11"/>
  <c r="P26" i="11" s="1"/>
  <c r="E31" i="11" l="1"/>
  <c r="F26" i="11"/>
  <c r="H26" i="11"/>
  <c r="G26" i="11"/>
  <c r="J26" i="11"/>
  <c r="I26" i="11"/>
  <c r="P12" i="11"/>
  <c r="F27" i="11" l="1"/>
  <c r="G27" i="11" s="1"/>
  <c r="F31" i="11"/>
  <c r="G31" i="11" s="1"/>
  <c r="H31" i="11" s="1"/>
  <c r="I31" i="11" s="1"/>
  <c r="J31" i="11" s="1"/>
  <c r="K31" i="11" s="1"/>
  <c r="L31" i="11" s="1"/>
  <c r="M31" i="11" s="1"/>
  <c r="N31" i="11" s="1"/>
  <c r="O31" i="11" s="1"/>
  <c r="H27" i="11" l="1"/>
  <c r="H34" i="11" s="1"/>
  <c r="G34" i="11"/>
  <c r="I27" i="11"/>
  <c r="J27" i="11" l="1"/>
  <c r="I34" i="11"/>
  <c r="K27" i="11" l="1"/>
  <c r="J34" i="11"/>
  <c r="L27" i="11" l="1"/>
  <c r="K34" i="11"/>
  <c r="M27" i="11" l="1"/>
  <c r="L34" i="11"/>
  <c r="M34" i="11" l="1"/>
  <c r="N27" i="11"/>
  <c r="P34" i="11"/>
  <c r="O27" i="11" l="1"/>
  <c r="O34" i="11" s="1"/>
  <c r="N34" i="11"/>
</calcChain>
</file>

<file path=xl/comments1.xml><?xml version="1.0" encoding="utf-8"?>
<comments xmlns="http://schemas.openxmlformats.org/spreadsheetml/2006/main">
  <authors>
    <author>Biswas, Koushik</author>
  </authors>
  <commentList>
    <comment ref="H6" authorId="0">
      <text>
        <r>
          <rPr>
            <b/>
            <sz val="8"/>
            <color indexed="81"/>
            <rFont val="Tahoma"/>
            <family val="2"/>
          </rPr>
          <t>Rahul Shaw would be working for SPS Lite for 4 working days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7" authorId="0">
      <text>
        <r>
          <rPr>
            <b/>
            <sz val="8"/>
            <color indexed="81"/>
            <rFont val="Tahoma"/>
            <family val="2"/>
          </rPr>
          <t>Ashish is on leave on 15th Apr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8" authorId="0">
      <text>
        <r>
          <rPr>
            <b/>
            <sz val="8"/>
            <color indexed="81"/>
            <rFont val="Tahoma"/>
            <family val="2"/>
          </rPr>
          <t>Aritra:-Estimated:-
Actual:-
Rahul:-Estimated:-192.5
Actual:-87.5
Ashish:- Estimated:-166.25
Actual:-87.5
Sarita:-Estimated:-122.50
Actual:-122.50
Astika:-Estimated:-122.50
Actual:-87.5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28" authorId="0">
      <text>
        <r>
          <rPr>
            <sz val="8"/>
            <color indexed="81"/>
            <rFont val="Tahoma"/>
            <family val="2"/>
          </rPr>
          <t xml:space="preserve">
Aritra:-Estimated:-
Actual:-
Rahul:-Estimated:-201.5
Actual:-175
Ashish:- Estimated:-210
Actual:-175
Sarita:-Estimated:-166.25
Actual:-166.25
Astika:-Estimated:-166.25
Actual:-87.5
</t>
        </r>
      </text>
    </comment>
    <comment ref="I28" authorId="0">
      <text>
        <r>
          <rPr>
            <b/>
            <sz val="8"/>
            <color indexed="81"/>
            <rFont val="Tahoma"/>
            <family val="2"/>
          </rPr>
          <t xml:space="preserve">
Aritra:-Estimated:-
Actual:-
Rahul:-Estimated:-236.25
Actual:-236.25
Ashish:- Estimated:-245
Actual:-245
Sarita:-Estimated:-35
Actual:-35
Astika:-Estimated:-201.25
Actual:-157.5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8" authorId="0">
      <text>
        <r>
          <rPr>
            <b/>
            <sz val="8"/>
            <color indexed="81"/>
            <rFont val="Tahoma"/>
            <family val="2"/>
          </rPr>
          <t xml:space="preserve">
Aritra:-Estimated:-
Actual:-4 hrs
Rahul:-Estimated:-52.5
Actual:-0
Ashish:- Estimated:-43.75
Actual:-43.75
Sarita:-Estimated:-43.75
Actual:-43.75
Astika:-Estimated:-245
Actual:-201.25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8" authorId="0">
      <text>
        <r>
          <rPr>
            <b/>
            <sz val="8"/>
            <color indexed="81"/>
            <rFont val="Tahoma"/>
            <family val="2"/>
          </rPr>
          <t xml:space="preserve">
Aritra:-Estimated:-
Actual:-
Rahul:-Estimated:-
Actual:-35
Ashish:- Estimated:-
Actual:-8.75
Sarita:-Estimated:-43.75
Actual:-43.75
Astika:-Estimated:-
Actual:-26.25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28" authorId="0">
      <text>
        <r>
          <rPr>
            <b/>
            <sz val="8"/>
            <color indexed="81"/>
            <rFont val="Tahoma"/>
            <family val="2"/>
          </rPr>
          <t>sarita:-43.75
Ashsih:-23.75
Rahul:-17.5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28" authorId="0">
      <text>
        <r>
          <rPr>
            <b/>
            <sz val="8"/>
            <color indexed="81"/>
            <rFont val="Tahoma"/>
            <family val="2"/>
          </rPr>
          <t>sarita:-43.75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8" authorId="0">
      <text>
        <r>
          <rPr>
            <b/>
            <sz val="8"/>
            <color indexed="81"/>
            <rFont val="Tahoma"/>
            <family val="2"/>
          </rPr>
          <t>Ashsih:-43.75
Sarita:-43.75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28" authorId="0">
      <text>
        <r>
          <rPr>
            <b/>
            <sz val="8"/>
            <color indexed="81"/>
            <rFont val="Tahoma"/>
            <charset val="1"/>
          </rPr>
          <t>sarita:-43.75
Abhishek:-87.5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D33" authorId="0">
      <text>
        <r>
          <rPr>
            <b/>
            <sz val="8"/>
            <color indexed="81"/>
            <rFont val="Tahoma"/>
            <family val="2"/>
          </rPr>
          <t>24th and 25th wipro Offshore Holiday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3" authorId="0">
      <text>
        <r>
          <rPr>
            <b/>
            <sz val="8"/>
            <color indexed="81"/>
            <rFont val="Tahoma"/>
            <family val="2"/>
          </rPr>
          <t>28th and 29th March Ashish Sahoo's Leave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3" authorId="0">
      <text>
        <r>
          <rPr>
            <b/>
            <sz val="8"/>
            <color indexed="81"/>
            <rFont val="Tahoma"/>
            <family val="2"/>
          </rPr>
          <t>14th April wipro holiday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33" authorId="0">
      <text>
        <r>
          <rPr>
            <b/>
            <sz val="8"/>
            <color indexed="81"/>
            <rFont val="Tahoma"/>
            <family val="2"/>
          </rPr>
          <t>Monday(25th april) holiday in KDC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34" authorId="0">
      <text>
        <r>
          <rPr>
            <b/>
            <sz val="8"/>
            <color indexed="81"/>
            <rFont val="Tahoma"/>
            <family val="2"/>
          </rPr>
          <t>Offshore lack hrs 43.75 till this wk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35" authorId="0">
      <text>
        <r>
          <rPr>
            <b/>
            <sz val="8"/>
            <color indexed="81"/>
            <rFont val="Tahoma"/>
            <family val="2"/>
          </rPr>
          <t>Aritra 4 hrs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<sst xmlns="http://schemas.openxmlformats.org/spreadsheetml/2006/main" count="61" uniqueCount="61">
  <si>
    <t>Total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</si>
  <si>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</si>
  <si>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</si>
  <si>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</si>
  <si>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</si>
  <si>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</si>
  <si>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</si>
  <si>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</si>
  <si>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</si>
  <si>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Resources</t>
  </si>
  <si>
    <t>Resource Wise Hours</t>
  </si>
  <si>
    <t>Highlights</t>
  </si>
  <si>
    <t>Actual Week Wise Cost</t>
  </si>
  <si>
    <t>Rate</t>
  </si>
  <si>
    <t>Week Wise Test Case Deliverables
 - Automation</t>
  </si>
  <si>
    <t>Week Wise Test Case Deliverables - 
Manual (New Dev + Optimization)</t>
  </si>
  <si>
    <t>TBD (Onsite)</t>
  </si>
  <si>
    <t>7. Review+Sign-Off  hours mentioned in above two points are included in Test Development hours</t>
  </si>
  <si>
    <r>
      <t>8. An additional 48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hours are allocated for incorporation of review comments.</t>
    </r>
  </si>
  <si>
    <r>
      <t>9. An additional 50 onsite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hours are dedicated for KA over and above the testing estimates</t>
    </r>
  </si>
  <si>
    <t>2. Total Offshore Hours :  1662.5</t>
  </si>
  <si>
    <t>1. Total Onsite Hours : 320</t>
  </si>
  <si>
    <t>3. Total Planned Manual Test Case count is 190</t>
  </si>
  <si>
    <t>4. Total Planned automation test case count is 114</t>
  </si>
  <si>
    <t>5. All the 190 manual test cases are planned to be finished by 20th of Nov.</t>
  </si>
  <si>
    <t>6. All the automation test cases are planned to be finished by 18th Dec.</t>
  </si>
  <si>
    <t>Week 9</t>
  </si>
  <si>
    <t>Expected Week Wise Cost</t>
  </si>
  <si>
    <t>Expected Cumulative Cost</t>
  </si>
  <si>
    <t xml:space="preserve">Expected Week Wise Total Hours </t>
  </si>
  <si>
    <t>Expected Cumulative Hours</t>
  </si>
  <si>
    <t>Actual Cumulative Hours</t>
  </si>
  <si>
    <t>Week 0</t>
  </si>
  <si>
    <t>Week 10</t>
  </si>
  <si>
    <t>03/14 - 03/18</t>
  </si>
  <si>
    <t>03/21 - 03/25</t>
  </si>
  <si>
    <t>03/28 - 04/01</t>
  </si>
  <si>
    <t>04/04 - 04/08</t>
  </si>
  <si>
    <t>04/11-04/15</t>
  </si>
  <si>
    <t>04/18-04/22</t>
  </si>
  <si>
    <t>04/25-04/29</t>
  </si>
  <si>
    <t>05/02-05/06</t>
  </si>
  <si>
    <t>05/09-05/13</t>
  </si>
  <si>
    <t>05/16-05/20</t>
  </si>
  <si>
    <t>05/23-05/27</t>
  </si>
  <si>
    <t>Aritra(Onsite)</t>
  </si>
  <si>
    <t>Rahul Shaw(Offshore)</t>
  </si>
  <si>
    <t>Sarita Yadav(Offshore)</t>
  </si>
  <si>
    <t>Astika Mohinta(Offshore)</t>
  </si>
  <si>
    <t>Review Complete</t>
  </si>
  <si>
    <t>Actual</t>
  </si>
  <si>
    <t>Need to Adjust Hours</t>
  </si>
  <si>
    <t>Ashish Kumar Sahoo(Offshore)</t>
  </si>
  <si>
    <t>Leave/Holiday Adjustment Hours</t>
  </si>
  <si>
    <t xml:space="preserve">Actual Week Wise Total Offshore Hours </t>
  </si>
  <si>
    <t xml:space="preserve">Actual Week Wise Total Onsite Hours </t>
  </si>
  <si>
    <t>2 resource 3 wk</t>
  </si>
  <si>
    <t>Week 11</t>
  </si>
  <si>
    <t>Week 12</t>
  </si>
  <si>
    <t>05/30-06/03</t>
  </si>
  <si>
    <t>06/06-06/10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</si>
</sst>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0000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/>
    <xf numFmtId="0" fontId="1" fillId="5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0" xfId="0" applyAlignment="1">
      <alignment wrapText="1"/>
    </xf>
    <xf numFmtId="0" fontId="1" fillId="3" borderId="1" xfId="0" applyFont="1" applyFill="1" applyBorder="1"/>
    <xf numFmtId="0" fontId="0" fillId="0" borderId="0" xfId="0" applyBorder="1" applyAlignment="1">
      <alignment wrapText="1"/>
    </xf>
    <xf numFmtId="0" fontId="0" fillId="0" borderId="1" xfId="0" applyFill="1" applyBorder="1" applyAlignment="1">
      <alignment wrapText="1"/>
    </xf>
    <xf numFmtId="1" fontId="0" fillId="0" borderId="0" xfId="0" applyNumberFormat="1" applyBorder="1"/>
    <xf numFmtId="0" fontId="2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wrapText="1"/>
    </xf>
    <xf numFmtId="0" fontId="0" fillId="0" borderId="0" xfId="0" applyFill="1"/>
    <xf numFmtId="0" fontId="0" fillId="0" borderId="1" xfId="0" applyBorder="1" applyAlignment="1">
      <alignment wrapText="1"/>
    </xf>
    <xf numFmtId="0" fontId="1" fillId="6" borderId="0" xfId="0" applyFont="1" applyFill="1" applyBorder="1"/>
    <xf numFmtId="0" fontId="1" fillId="5" borderId="7" xfId="0" applyFont="1" applyFill="1" applyBorder="1" applyAlignment="1">
      <alignment horizontal="center"/>
    </xf>
    <xf numFmtId="0" fontId="0" fillId="6" borderId="0" xfId="0" applyFill="1"/>
    <xf numFmtId="0" fontId="1" fillId="0" borderId="8" xfId="0" applyFont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/>
    <xf numFmtId="0" fontId="1" fillId="6" borderId="0" xfId="0" applyFont="1" applyFill="1"/>
    <xf numFmtId="0" fontId="0" fillId="0" borderId="2" xfId="0" applyFill="1" applyBorder="1" applyAlignment="1">
      <alignment wrapText="1"/>
    </xf>
    <xf numFmtId="0" fontId="0" fillId="9" borderId="0" xfId="0" applyFill="1"/>
    <xf numFmtId="0" fontId="1" fillId="2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1" fontId="0" fillId="8" borderId="6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1" fontId="0" fillId="8" borderId="1" xfId="0" applyNumberFormat="1" applyFont="1" applyFill="1" applyBorder="1" applyAlignment="1">
      <alignment horizontal="center" vertical="center" wrapText="1"/>
    </xf>
    <xf numFmtId="1" fontId="0" fillId="8" borderId="1" xfId="0" applyNumberFormat="1" applyFont="1" applyFill="1" applyBorder="1" applyAlignment="1">
      <alignment wrapText="1"/>
    </xf>
    <xf numFmtId="1" fontId="1" fillId="8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 vertical="center" wrapText="1" readingOrder="1"/>
    </xf>
    <xf numFmtId="0" fontId="6" fillId="10" borderId="1" xfId="0" applyFont="1" applyFill="1" applyBorder="1" applyAlignment="1">
      <alignment horizontal="center" vertical="center" wrapText="1" readingOrder="1"/>
    </xf>
    <xf numFmtId="2" fontId="1" fillId="6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/>
    <xf numFmtId="0" fontId="0" fillId="12" borderId="1" xfId="0" applyFill="1" applyBorder="1"/>
    <xf numFmtId="0" fontId="1" fillId="3" borderId="1" xfId="0" applyFont="1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1" fillId="12" borderId="1" xfId="0" applyFont="1" applyFill="1" applyBorder="1"/>
    <xf numFmtId="0" fontId="1" fillId="11" borderId="1" xfId="0" applyFont="1" applyFill="1" applyBorder="1" applyAlignment="1">
      <alignment horizontal="center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6"/>
  <sheetViews>
    <sheetView tabSelected="1" topLeftCell="A7" zoomScaleNormal="100" workbookViewId="0">
      <pane xSplit="1" topLeftCell="H1" activePane="topRight" state="frozen"/>
      <selection pane="topRight" activeCell="R28" sqref="R28"/>
    </sheetView>
  </sheetViews>
  <sheetFormatPr defaultRowHeight="15" x14ac:dyDescent="0.25"/>
  <cols>
    <col min="1" max="1" width="31.42578125" bestFit="1" customWidth="1"/>
    <col min="2" max="2" width="9" customWidth="1"/>
    <col min="3" max="9" width="12.28515625" customWidth="1"/>
    <col min="10" max="10" width="15.85546875" customWidth="1"/>
    <col min="11" max="11" width="16.140625" customWidth="1"/>
    <col min="12" max="15" width="15.85546875" customWidth="1"/>
    <col min="16" max="16" width="20" bestFit="1" customWidth="1"/>
  </cols>
  <sheetData>
    <row r="1" spans="1:21" x14ac:dyDescent="0.25">
      <c r="B1" s="48" t="s">
        <v>13</v>
      </c>
      <c r="C1" s="20" t="s">
        <v>32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26</v>
      </c>
      <c r="M1" s="20" t="s">
        <v>33</v>
      </c>
      <c r="N1" s="20" t="s">
        <v>57</v>
      </c>
      <c r="O1" s="20" t="s">
        <v>58</v>
      </c>
      <c r="P1" s="7" t="s">
        <v>0</v>
      </c>
    </row>
    <row r="2" spans="1:21" x14ac:dyDescent="0.25">
      <c r="B2" s="1"/>
      <c r="C2" s="2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1" x14ac:dyDescent="0.25">
      <c r="A3" s="34" t="s">
        <v>9</v>
      </c>
      <c r="B3" s="23"/>
      <c r="C3" s="61" t="s">
        <v>34</v>
      </c>
      <c r="D3" s="61" t="s">
        <v>35</v>
      </c>
      <c r="E3" s="61" t="s">
        <v>36</v>
      </c>
      <c r="F3" s="61" t="s">
        <v>37</v>
      </c>
      <c r="G3" s="61" t="s">
        <v>38</v>
      </c>
      <c r="H3" s="62" t="s">
        <v>39</v>
      </c>
      <c r="I3" s="62" t="s">
        <v>40</v>
      </c>
      <c r="J3" s="62" t="s">
        <v>41</v>
      </c>
      <c r="K3" s="62" t="s">
        <v>42</v>
      </c>
      <c r="L3" s="62" t="s">
        <v>43</v>
      </c>
      <c r="M3" s="62" t="s">
        <v>44</v>
      </c>
      <c r="N3" s="62" t="s">
        <v>59</v>
      </c>
      <c r="O3" s="62" t="s">
        <v>60</v>
      </c>
      <c r="P3" s="8" t="s">
        <v>10</v>
      </c>
    </row>
    <row r="4" spans="1:21" s="30" customFormat="1" x14ac:dyDescent="0.25">
      <c r="A4" s="26" t="s">
        <v>45</v>
      </c>
      <c r="B4" s="49">
        <f>66.3</f>
        <v>66.3</v>
      </c>
      <c r="C4" s="35">
        <v>8</v>
      </c>
      <c r="D4" s="35">
        <v>10</v>
      </c>
      <c r="E4" s="35">
        <v>6</v>
      </c>
      <c r="F4" s="35">
        <v>10</v>
      </c>
      <c r="G4" s="35">
        <v>6</v>
      </c>
      <c r="H4" s="35">
        <v>6</v>
      </c>
      <c r="I4" s="35">
        <v>6</v>
      </c>
      <c r="J4" s="35">
        <v>6</v>
      </c>
      <c r="K4" s="35">
        <v>10</v>
      </c>
      <c r="L4" s="35">
        <v>6</v>
      </c>
      <c r="M4" s="35">
        <v>6</v>
      </c>
      <c r="N4" s="35">
        <v>0</v>
      </c>
      <c r="O4" s="35">
        <v>0</v>
      </c>
      <c r="P4" s="35">
        <f>SUM(C4:O4)</f>
        <v>80</v>
      </c>
    </row>
    <row r="5" spans="1:21" s="30" customFormat="1" hidden="1" x14ac:dyDescent="0.25">
      <c r="A5" s="14" t="s">
        <v>16</v>
      </c>
      <c r="B5" s="50">
        <v>0</v>
      </c>
      <c r="C5" s="36"/>
      <c r="D5" s="36"/>
      <c r="E5" s="36"/>
      <c r="F5" s="36"/>
      <c r="G5" s="35"/>
      <c r="H5" s="35"/>
      <c r="I5" s="35"/>
      <c r="J5" s="35"/>
      <c r="K5" s="35"/>
      <c r="L5" s="35"/>
      <c r="M5" s="35"/>
      <c r="N5" s="35"/>
      <c r="O5" s="35"/>
      <c r="P5" s="35">
        <f>SUM(C5:J5)</f>
        <v>0</v>
      </c>
    </row>
    <row r="6" spans="1:21" s="17" customFormat="1" x14ac:dyDescent="0.25">
      <c r="A6" s="26" t="s">
        <v>46</v>
      </c>
      <c r="B6" s="49">
        <v>21</v>
      </c>
      <c r="C6" s="40">
        <v>43.75</v>
      </c>
      <c r="D6" s="40">
        <v>26.25</v>
      </c>
      <c r="E6" s="40">
        <v>43.75</v>
      </c>
      <c r="F6" s="40">
        <v>43.75</v>
      </c>
      <c r="G6" s="40">
        <v>35</v>
      </c>
      <c r="H6" s="40">
        <v>8.75</v>
      </c>
      <c r="I6" s="40">
        <v>35</v>
      </c>
      <c r="J6" s="40">
        <v>43.75</v>
      </c>
      <c r="K6" s="40">
        <v>43.75</v>
      </c>
      <c r="L6" s="40">
        <v>43.75</v>
      </c>
      <c r="M6" s="40">
        <v>43.75</v>
      </c>
      <c r="N6" s="40">
        <v>43.75</v>
      </c>
      <c r="O6" s="40">
        <v>43.75</v>
      </c>
      <c r="P6" s="35">
        <f>SUM(C6:O6)</f>
        <v>498.75</v>
      </c>
    </row>
    <row r="7" spans="1:21" s="21" customFormat="1" x14ac:dyDescent="0.25">
      <c r="A7" s="26" t="s">
        <v>52</v>
      </c>
      <c r="B7" s="49">
        <v>21</v>
      </c>
      <c r="C7" s="38">
        <v>43.75</v>
      </c>
      <c r="D7" s="38">
        <v>26.25</v>
      </c>
      <c r="E7" s="38">
        <v>26.25</v>
      </c>
      <c r="F7" s="38">
        <v>43.75</v>
      </c>
      <c r="G7" s="38">
        <v>26.25</v>
      </c>
      <c r="H7" s="38">
        <v>43.75</v>
      </c>
      <c r="I7" s="38">
        <v>35</v>
      </c>
      <c r="J7" s="38">
        <v>43.75</v>
      </c>
      <c r="K7" s="40">
        <v>43.75</v>
      </c>
      <c r="L7" s="40">
        <v>43.75</v>
      </c>
      <c r="M7" s="38">
        <v>0</v>
      </c>
      <c r="N7" s="38">
        <v>43.75</v>
      </c>
      <c r="O7" s="38">
        <v>43.75</v>
      </c>
      <c r="P7" s="63">
        <f>SUM(C7:O7)</f>
        <v>463.75</v>
      </c>
    </row>
    <row r="8" spans="1:21" s="21" customFormat="1" x14ac:dyDescent="0.25">
      <c r="A8" s="26" t="s">
        <v>47</v>
      </c>
      <c r="B8" s="49">
        <v>21</v>
      </c>
      <c r="C8" s="38">
        <v>0</v>
      </c>
      <c r="D8" s="38">
        <v>0</v>
      </c>
      <c r="E8" s="38">
        <v>43.75</v>
      </c>
      <c r="F8" s="38">
        <v>43.75</v>
      </c>
      <c r="G8" s="38">
        <v>35</v>
      </c>
      <c r="H8" s="38">
        <v>43.75</v>
      </c>
      <c r="I8" s="38">
        <v>35</v>
      </c>
      <c r="J8" s="38">
        <v>43.75</v>
      </c>
      <c r="K8" s="40">
        <v>43.75</v>
      </c>
      <c r="L8" s="40">
        <v>0</v>
      </c>
      <c r="M8" s="38">
        <v>0</v>
      </c>
      <c r="N8" s="38">
        <v>35</v>
      </c>
      <c r="O8" s="38">
        <v>0</v>
      </c>
      <c r="P8" s="63">
        <f>SUM(C8:O8)</f>
        <v>323.75</v>
      </c>
    </row>
    <row r="9" spans="1:21" s="21" customFormat="1" x14ac:dyDescent="0.25">
      <c r="A9" s="26" t="s">
        <v>48</v>
      </c>
      <c r="B9" s="49">
        <v>21</v>
      </c>
      <c r="C9" s="38">
        <v>0</v>
      </c>
      <c r="D9" s="38">
        <v>0</v>
      </c>
      <c r="E9" s="38">
        <v>43.75</v>
      </c>
      <c r="F9" s="38">
        <v>43.75</v>
      </c>
      <c r="G9" s="38">
        <v>35</v>
      </c>
      <c r="H9" s="41">
        <v>43.75</v>
      </c>
      <c r="I9" s="41">
        <v>35</v>
      </c>
      <c r="J9" s="41">
        <v>43.75</v>
      </c>
      <c r="K9" s="40">
        <v>43.75</v>
      </c>
      <c r="L9" s="40">
        <v>0</v>
      </c>
      <c r="M9" s="41">
        <v>0</v>
      </c>
      <c r="N9" s="41">
        <v>0</v>
      </c>
      <c r="O9" s="41">
        <v>0</v>
      </c>
      <c r="P9" s="63">
        <f>SUM(C9:O9)</f>
        <v>288.75</v>
      </c>
    </row>
    <row r="10" spans="1:21" s="21" customFormat="1" x14ac:dyDescent="0.25">
      <c r="A10" s="26"/>
      <c r="B10" s="49">
        <v>21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35">
        <f t="shared" ref="P10" si="0">SUM(C10:K10)</f>
        <v>0</v>
      </c>
      <c r="U10" s="30" t="s">
        <v>56</v>
      </c>
    </row>
    <row r="11" spans="1:21" s="21" customFormat="1" hidden="1" x14ac:dyDescent="0.25">
      <c r="A11" s="26"/>
      <c r="B11" s="37"/>
      <c r="C11" s="38"/>
      <c r="D11" s="38"/>
      <c r="E11" s="38"/>
      <c r="F11" s="38"/>
      <c r="G11" s="41"/>
      <c r="H11" s="41"/>
      <c r="I11" s="41"/>
      <c r="J11" s="41"/>
      <c r="K11" s="41"/>
      <c r="L11" s="41"/>
      <c r="M11" s="41"/>
      <c r="N11" s="41"/>
      <c r="O11" s="41"/>
      <c r="P11" s="37"/>
    </row>
    <row r="12" spans="1:21" s="21" customFormat="1" hidden="1" x14ac:dyDescent="0.25">
      <c r="A12" s="27"/>
      <c r="B12" s="26"/>
      <c r="C12" s="38"/>
      <c r="D12" s="38"/>
      <c r="E12" s="38"/>
      <c r="F12" s="38"/>
      <c r="G12" s="41"/>
      <c r="H12" s="41"/>
      <c r="I12" s="41"/>
      <c r="J12" s="41"/>
      <c r="K12" s="41"/>
      <c r="L12" s="41"/>
      <c r="M12" s="41"/>
      <c r="N12" s="41"/>
      <c r="O12" s="41"/>
      <c r="P12" s="24">
        <f t="shared" ref="P12:P22" si="1">SUM(C12:J12)</f>
        <v>0</v>
      </c>
    </row>
    <row r="13" spans="1:21" s="21" customFormat="1" hidden="1" x14ac:dyDescent="0.25">
      <c r="A13" s="27"/>
      <c r="B13" s="27"/>
      <c r="C13" s="38"/>
      <c r="D13" s="38"/>
      <c r="E13" s="38"/>
      <c r="F13" s="38"/>
      <c r="G13" s="41"/>
      <c r="H13" s="41"/>
      <c r="I13" s="41"/>
      <c r="J13" s="41"/>
      <c r="K13" s="41"/>
      <c r="L13" s="41"/>
      <c r="M13" s="41"/>
      <c r="N13" s="41"/>
      <c r="O13" s="41"/>
      <c r="P13" s="24">
        <f t="shared" si="1"/>
        <v>0</v>
      </c>
    </row>
    <row r="14" spans="1:21" s="30" customFormat="1" hidden="1" x14ac:dyDescent="0.25">
      <c r="A14" s="28"/>
      <c r="B14" s="28"/>
      <c r="C14" s="39"/>
      <c r="D14" s="39"/>
      <c r="E14" s="39"/>
      <c r="F14" s="39"/>
      <c r="G14" s="42"/>
      <c r="H14" s="42"/>
      <c r="I14" s="42"/>
      <c r="J14" s="42"/>
      <c r="K14" s="42"/>
      <c r="L14" s="42"/>
      <c r="M14" s="42"/>
      <c r="N14" s="42"/>
      <c r="O14" s="42"/>
      <c r="P14" s="25">
        <f t="shared" si="1"/>
        <v>0</v>
      </c>
    </row>
    <row r="15" spans="1:21" s="21" customFormat="1" hidden="1" x14ac:dyDescent="0.25">
      <c r="A15" s="27"/>
      <c r="B15" s="26"/>
      <c r="C15" s="38"/>
      <c r="D15" s="38"/>
      <c r="E15" s="38"/>
      <c r="F15" s="38"/>
      <c r="G15" s="41"/>
      <c r="H15" s="41"/>
      <c r="I15" s="41"/>
      <c r="J15" s="41"/>
      <c r="K15" s="41"/>
      <c r="L15" s="41"/>
      <c r="M15" s="41"/>
      <c r="N15" s="41"/>
      <c r="O15" s="41"/>
      <c r="P15" s="24">
        <f t="shared" si="1"/>
        <v>0</v>
      </c>
    </row>
    <row r="16" spans="1:21" s="21" customFormat="1" hidden="1" x14ac:dyDescent="0.25">
      <c r="A16" s="27"/>
      <c r="B16" s="26"/>
      <c r="C16" s="38"/>
      <c r="D16" s="38"/>
      <c r="E16" s="38"/>
      <c r="F16" s="38"/>
      <c r="G16" s="41"/>
      <c r="H16" s="41"/>
      <c r="I16" s="41"/>
      <c r="J16" s="41"/>
      <c r="K16" s="41"/>
      <c r="L16" s="41"/>
      <c r="M16" s="41"/>
      <c r="N16" s="41"/>
      <c r="O16" s="41"/>
      <c r="P16" s="24">
        <f t="shared" si="1"/>
        <v>0</v>
      </c>
    </row>
    <row r="17" spans="1:17" s="21" customFormat="1" hidden="1" x14ac:dyDescent="0.25">
      <c r="A17" s="26"/>
      <c r="B17" s="26"/>
      <c r="C17" s="38"/>
      <c r="D17" s="38"/>
      <c r="E17" s="38"/>
      <c r="F17" s="38"/>
      <c r="G17" s="41"/>
      <c r="H17" s="41"/>
      <c r="I17" s="41"/>
      <c r="J17" s="41"/>
      <c r="K17" s="41"/>
      <c r="L17" s="41"/>
      <c r="M17" s="41"/>
      <c r="N17" s="41"/>
      <c r="O17" s="41"/>
      <c r="P17" s="24">
        <f t="shared" si="1"/>
        <v>0</v>
      </c>
    </row>
    <row r="18" spans="1:17" s="21" customFormat="1" hidden="1" x14ac:dyDescent="0.25">
      <c r="A18" s="29"/>
      <c r="B18" s="28"/>
      <c r="C18" s="38"/>
      <c r="D18" s="38"/>
      <c r="E18" s="38"/>
      <c r="F18" s="38"/>
      <c r="G18" s="41"/>
      <c r="H18" s="41"/>
      <c r="I18" s="41"/>
      <c r="J18" s="41"/>
      <c r="K18" s="41"/>
      <c r="L18" s="41"/>
      <c r="M18" s="41"/>
      <c r="N18" s="41"/>
      <c r="O18" s="41"/>
      <c r="P18" s="24">
        <f t="shared" si="1"/>
        <v>0</v>
      </c>
    </row>
    <row r="19" spans="1:17" s="21" customFormat="1" hidden="1" x14ac:dyDescent="0.25">
      <c r="A19" s="26"/>
      <c r="B19" s="26"/>
      <c r="C19" s="38"/>
      <c r="D19" s="38"/>
      <c r="E19" s="38"/>
      <c r="F19" s="38"/>
      <c r="G19" s="41"/>
      <c r="H19" s="41"/>
      <c r="I19" s="41"/>
      <c r="J19" s="41"/>
      <c r="K19" s="41"/>
      <c r="L19" s="41"/>
      <c r="M19" s="41"/>
      <c r="N19" s="41"/>
      <c r="O19" s="41"/>
      <c r="P19" s="24">
        <f t="shared" si="1"/>
        <v>0</v>
      </c>
    </row>
    <row r="20" spans="1:17" s="21" customFormat="1" hidden="1" x14ac:dyDescent="0.25">
      <c r="A20" s="26"/>
      <c r="B20" s="29"/>
      <c r="C20" s="38"/>
      <c r="D20" s="38"/>
      <c r="E20" s="38"/>
      <c r="F20" s="38"/>
      <c r="G20" s="41"/>
      <c r="H20" s="41"/>
      <c r="I20" s="41"/>
      <c r="J20" s="41"/>
      <c r="K20" s="41"/>
      <c r="L20" s="41"/>
      <c r="M20" s="41"/>
      <c r="N20" s="41"/>
      <c r="O20" s="41"/>
      <c r="P20" s="24">
        <f t="shared" si="1"/>
        <v>0</v>
      </c>
    </row>
    <row r="21" spans="1:17" hidden="1" x14ac:dyDescent="0.25">
      <c r="A21" s="14"/>
      <c r="B21" s="14"/>
      <c r="C21" s="40"/>
      <c r="D21" s="40"/>
      <c r="E21" s="40"/>
      <c r="F21" s="40"/>
      <c r="G21" s="43"/>
      <c r="H21" s="43"/>
      <c r="I21" s="43"/>
      <c r="J21" s="44"/>
      <c r="K21" s="44"/>
      <c r="L21" s="44"/>
      <c r="M21" s="44"/>
      <c r="N21" s="44"/>
      <c r="O21" s="44"/>
      <c r="P21" s="15">
        <f t="shared" si="1"/>
        <v>0</v>
      </c>
    </row>
    <row r="22" spans="1:17" s="17" customFormat="1" hidden="1" x14ac:dyDescent="0.25">
      <c r="A22" s="14"/>
      <c r="B22" s="14"/>
      <c r="C22" s="40"/>
      <c r="D22" s="40"/>
      <c r="E22" s="40"/>
      <c r="F22" s="40"/>
      <c r="G22" s="43"/>
      <c r="H22" s="43"/>
      <c r="I22" s="43"/>
      <c r="J22" s="44"/>
      <c r="K22" s="44"/>
      <c r="L22" s="44"/>
      <c r="M22" s="44"/>
      <c r="N22" s="44"/>
      <c r="O22" s="44"/>
      <c r="P22" s="15">
        <f t="shared" si="1"/>
        <v>0</v>
      </c>
    </row>
    <row r="23" spans="1:17" s="17" customFormat="1" hidden="1" x14ac:dyDescent="0.25">
      <c r="A23" s="14"/>
      <c r="B23" s="14"/>
      <c r="C23" s="40"/>
      <c r="D23" s="40"/>
      <c r="E23" s="40"/>
      <c r="F23" s="40"/>
      <c r="G23" s="43"/>
      <c r="H23" s="43"/>
      <c r="I23" s="43"/>
      <c r="J23" s="44"/>
      <c r="K23" s="44"/>
      <c r="L23" s="44"/>
      <c r="M23" s="44"/>
      <c r="N23" s="44"/>
      <c r="O23" s="44"/>
      <c r="P23" s="15"/>
    </row>
    <row r="24" spans="1:17" s="17" customFormat="1" hidden="1" x14ac:dyDescent="0.25">
      <c r="A24" s="14"/>
      <c r="B24" s="14"/>
      <c r="C24" s="40"/>
      <c r="D24" s="40"/>
      <c r="E24" s="40"/>
      <c r="F24" s="40"/>
      <c r="G24" s="43"/>
      <c r="H24" s="43"/>
      <c r="I24" s="43"/>
      <c r="J24" s="45"/>
      <c r="K24" s="45"/>
      <c r="L24" s="45"/>
      <c r="M24" s="45"/>
      <c r="N24" s="45"/>
      <c r="O24" s="45"/>
      <c r="P24" s="15"/>
    </row>
    <row r="25" spans="1:17" s="17" customFormat="1" hidden="1" x14ac:dyDescent="0.25">
      <c r="A25" s="14"/>
      <c r="B25" s="14"/>
      <c r="C25" s="40"/>
      <c r="D25" s="40"/>
      <c r="E25" s="40"/>
      <c r="F25" s="40"/>
      <c r="G25" s="43"/>
      <c r="H25" s="43"/>
      <c r="I25" s="43"/>
      <c r="J25" s="44"/>
      <c r="K25" s="44"/>
      <c r="L25" s="44"/>
      <c r="M25" s="44"/>
      <c r="N25" s="44"/>
      <c r="O25" s="44"/>
      <c r="P25" s="15"/>
    </row>
    <row r="26" spans="1:17" x14ac:dyDescent="0.25">
      <c r="A26" s="34" t="s">
        <v>29</v>
      </c>
      <c r="B26" s="34"/>
      <c r="C26" s="5">
        <f t="shared" ref="C26:K26" si="2">SUM(C4:C25)</f>
        <v>95.5</v>
      </c>
      <c r="D26" s="5">
        <f t="shared" si="2"/>
        <v>62.5</v>
      </c>
      <c r="E26" s="5">
        <f t="shared" si="2"/>
        <v>163.5</v>
      </c>
      <c r="F26" s="5">
        <f t="shared" si="2"/>
        <v>185</v>
      </c>
      <c r="G26" s="46">
        <f t="shared" si="2"/>
        <v>137.25</v>
      </c>
      <c r="H26" s="46">
        <f t="shared" si="2"/>
        <v>146</v>
      </c>
      <c r="I26" s="46">
        <f t="shared" si="2"/>
        <v>146</v>
      </c>
      <c r="J26" s="46">
        <f t="shared" si="2"/>
        <v>181</v>
      </c>
      <c r="K26" s="46">
        <f t="shared" si="2"/>
        <v>185</v>
      </c>
      <c r="L26" s="46">
        <f t="shared" ref="L26:O26" si="3">SUM(L4:L25)</f>
        <v>93.5</v>
      </c>
      <c r="M26" s="46">
        <f t="shared" si="3"/>
        <v>49.75</v>
      </c>
      <c r="N26" s="46">
        <f t="shared" si="3"/>
        <v>122.5</v>
      </c>
      <c r="O26" s="46">
        <f t="shared" si="3"/>
        <v>87.5</v>
      </c>
      <c r="P26" s="5">
        <f>SUM(P4:P10)</f>
        <v>1655</v>
      </c>
      <c r="Q26" s="47"/>
    </row>
    <row r="27" spans="1:17" x14ac:dyDescent="0.25">
      <c r="A27" s="34" t="s">
        <v>30</v>
      </c>
      <c r="B27" s="34"/>
      <c r="C27" s="5">
        <f>C26</f>
        <v>95.5</v>
      </c>
      <c r="D27" s="5">
        <f t="shared" ref="D27:K27" si="4">C27+D26</f>
        <v>158</v>
      </c>
      <c r="E27" s="5">
        <f t="shared" si="4"/>
        <v>321.5</v>
      </c>
      <c r="F27" s="5">
        <f t="shared" si="4"/>
        <v>506.5</v>
      </c>
      <c r="G27" s="46">
        <f t="shared" si="4"/>
        <v>643.75</v>
      </c>
      <c r="H27" s="46">
        <f t="shared" si="4"/>
        <v>789.75</v>
      </c>
      <c r="I27" s="46">
        <f t="shared" si="4"/>
        <v>935.75</v>
      </c>
      <c r="J27" s="46">
        <f t="shared" si="4"/>
        <v>1116.75</v>
      </c>
      <c r="K27" s="46">
        <f t="shared" si="4"/>
        <v>1301.75</v>
      </c>
      <c r="L27" s="46">
        <f t="shared" ref="L27" si="5">K27+L26</f>
        <v>1395.25</v>
      </c>
      <c r="M27" s="46">
        <f t="shared" ref="M27" si="6">L27+M26</f>
        <v>1445</v>
      </c>
      <c r="N27" s="46">
        <f t="shared" ref="N27" si="7">M27+N26</f>
        <v>1567.5</v>
      </c>
      <c r="O27" s="46">
        <f t="shared" ref="O27" si="8">N27+O26</f>
        <v>1655</v>
      </c>
      <c r="P27" s="52"/>
    </row>
    <row r="28" spans="1:17" ht="30" x14ac:dyDescent="0.25">
      <c r="A28" s="66" t="s">
        <v>54</v>
      </c>
      <c r="B28" s="34"/>
      <c r="C28" s="5">
        <v>0</v>
      </c>
      <c r="D28" s="60">
        <v>0</v>
      </c>
      <c r="E28" s="5">
        <v>0</v>
      </c>
      <c r="F28" s="5">
        <v>0</v>
      </c>
      <c r="G28" s="46">
        <v>385</v>
      </c>
      <c r="H28" s="46">
        <f>297.5-78.75</f>
        <v>218.75</v>
      </c>
      <c r="I28" s="46">
        <v>236.25</v>
      </c>
      <c r="J28" s="46">
        <v>131.25</v>
      </c>
      <c r="K28" s="46">
        <f>96.25+17.5</f>
        <v>113.75</v>
      </c>
      <c r="L28" s="46">
        <v>85</v>
      </c>
      <c r="M28" s="46">
        <v>43.75</v>
      </c>
      <c r="N28" s="46">
        <v>87.5</v>
      </c>
      <c r="O28" s="46">
        <v>131.25</v>
      </c>
      <c r="P28" s="69">
        <f>SUM(C28:O28)</f>
        <v>1432.5</v>
      </c>
    </row>
    <row r="29" spans="1:17" x14ac:dyDescent="0.25">
      <c r="A29" s="34" t="s">
        <v>31</v>
      </c>
      <c r="B29" s="34"/>
      <c r="C29" s="5">
        <f>C28+C35</f>
        <v>0</v>
      </c>
      <c r="D29" s="60">
        <f>C29+D35+D28</f>
        <v>0</v>
      </c>
      <c r="E29" s="60">
        <f t="shared" ref="E29:M29" si="9">D29+E35+E28</f>
        <v>0</v>
      </c>
      <c r="F29" s="60">
        <f t="shared" si="9"/>
        <v>0</v>
      </c>
      <c r="G29" s="60">
        <f t="shared" si="9"/>
        <v>385</v>
      </c>
      <c r="H29" s="60">
        <f t="shared" si="9"/>
        <v>603.75</v>
      </c>
      <c r="I29" s="60">
        <f t="shared" si="9"/>
        <v>840</v>
      </c>
      <c r="J29" s="60">
        <f t="shared" si="9"/>
        <v>975.25</v>
      </c>
      <c r="K29" s="60">
        <f t="shared" si="9"/>
        <v>1094</v>
      </c>
      <c r="L29" s="60">
        <f t="shared" si="9"/>
        <v>1179</v>
      </c>
      <c r="M29" s="60">
        <f t="shared" si="9"/>
        <v>1226.75</v>
      </c>
      <c r="N29" s="60">
        <f t="shared" ref="N29" si="10">M29+N35+N28</f>
        <v>1319.25</v>
      </c>
      <c r="O29" s="60">
        <f t="shared" ref="O29" si="11">N29+O35+O28</f>
        <v>1458.5</v>
      </c>
      <c r="P29" s="52"/>
    </row>
    <row r="30" spans="1:17" s="17" customFormat="1" x14ac:dyDescent="0.25">
      <c r="A30" s="33" t="s">
        <v>27</v>
      </c>
      <c r="B30" s="33"/>
      <c r="C30" s="53">
        <f>($B$4*C4)+($B$6*C6)+($B$7*C7)+($B$8*C8)+($B$9*C9)+($B$10*C10)</f>
        <v>2367.9</v>
      </c>
      <c r="D30" s="53">
        <f t="shared" ref="D30:O30" si="12">($B$4*D4)+($B$6*D6)+($B$7*D7)+($B$8*D8)+($B$9*D9)+($B$10*D10)</f>
        <v>1765.5</v>
      </c>
      <c r="E30" s="53">
        <f t="shared" si="12"/>
        <v>3705.3</v>
      </c>
      <c r="F30" s="53">
        <f t="shared" si="12"/>
        <v>4338</v>
      </c>
      <c r="G30" s="53">
        <f t="shared" si="12"/>
        <v>3154.05</v>
      </c>
      <c r="H30" s="53">
        <f t="shared" si="12"/>
        <v>3337.8</v>
      </c>
      <c r="I30" s="53">
        <f t="shared" si="12"/>
        <v>3337.8</v>
      </c>
      <c r="J30" s="53">
        <f t="shared" si="12"/>
        <v>4072.8</v>
      </c>
      <c r="K30" s="53">
        <f t="shared" si="12"/>
        <v>4338</v>
      </c>
      <c r="L30" s="53">
        <f t="shared" si="12"/>
        <v>2235.3000000000002</v>
      </c>
      <c r="M30" s="53">
        <f t="shared" si="12"/>
        <v>1316.55</v>
      </c>
      <c r="N30" s="53">
        <f t="shared" si="12"/>
        <v>2572.5</v>
      </c>
      <c r="O30" s="53">
        <f t="shared" si="12"/>
        <v>1837.5</v>
      </c>
      <c r="P30" s="54">
        <f>SUM(C30:O30)</f>
        <v>38379</v>
      </c>
    </row>
    <row r="31" spans="1:17" s="17" customFormat="1" x14ac:dyDescent="0.25">
      <c r="A31" s="33" t="s">
        <v>28</v>
      </c>
      <c r="B31" s="33"/>
      <c r="C31" s="53">
        <f>C30</f>
        <v>2367.9</v>
      </c>
      <c r="D31" s="53">
        <f>C31+D30</f>
        <v>4133.3999999999996</v>
      </c>
      <c r="E31" s="53">
        <f>D31+E30</f>
        <v>7838.7</v>
      </c>
      <c r="F31" s="53">
        <f>E31+F30</f>
        <v>12176.7</v>
      </c>
      <c r="G31" s="54">
        <f t="shared" ref="G31:I31" si="13">F31+G30</f>
        <v>15330.75</v>
      </c>
      <c r="H31" s="54">
        <f t="shared" si="13"/>
        <v>18668.55</v>
      </c>
      <c r="I31" s="54">
        <f t="shared" si="13"/>
        <v>22006.35</v>
      </c>
      <c r="J31" s="54">
        <f t="shared" ref="J31:K31" si="14">I31+J30</f>
        <v>26079.149999999998</v>
      </c>
      <c r="K31" s="54">
        <f t="shared" si="14"/>
        <v>30417.149999999998</v>
      </c>
      <c r="L31" s="54">
        <f t="shared" ref="L31" si="15">K31+L30</f>
        <v>32652.449999999997</v>
      </c>
      <c r="M31" s="54">
        <f t="shared" ref="M31" si="16">L31+M30</f>
        <v>33969</v>
      </c>
      <c r="N31" s="54">
        <f t="shared" ref="N31" si="17">M31+N30</f>
        <v>36541.5</v>
      </c>
      <c r="O31" s="54">
        <f t="shared" ref="O31" si="18">N31+O30</f>
        <v>38379</v>
      </c>
      <c r="P31" s="55"/>
    </row>
    <row r="32" spans="1:17" x14ac:dyDescent="0.25">
      <c r="A32" s="64" t="s">
        <v>12</v>
      </c>
      <c r="B32" s="33"/>
      <c r="C32" s="53">
        <f>($B$4*C35)+($B$6*C28)</f>
        <v>0</v>
      </c>
      <c r="D32" s="53">
        <f t="shared" ref="D32:O32" si="19">($B$4*D35)+($B$6*D28)</f>
        <v>0</v>
      </c>
      <c r="E32" s="53">
        <f t="shared" si="19"/>
        <v>0</v>
      </c>
      <c r="F32" s="53">
        <f t="shared" si="19"/>
        <v>0</v>
      </c>
      <c r="G32" s="53">
        <f t="shared" si="19"/>
        <v>8085</v>
      </c>
      <c r="H32" s="53">
        <f t="shared" si="19"/>
        <v>4593.75</v>
      </c>
      <c r="I32" s="53">
        <f t="shared" si="19"/>
        <v>4961.25</v>
      </c>
      <c r="J32" s="53">
        <f t="shared" si="19"/>
        <v>3021.45</v>
      </c>
      <c r="K32" s="53">
        <f t="shared" si="19"/>
        <v>2720.25</v>
      </c>
      <c r="L32" s="53">
        <f t="shared" si="19"/>
        <v>1785</v>
      </c>
      <c r="M32" s="53">
        <f t="shared" si="19"/>
        <v>1183.95</v>
      </c>
      <c r="N32" s="53">
        <f t="shared" si="19"/>
        <v>2169</v>
      </c>
      <c r="O32" s="53">
        <f t="shared" si="19"/>
        <v>3286.65</v>
      </c>
      <c r="P32" s="54">
        <f>SUM(C32:M32)</f>
        <v>26350.65</v>
      </c>
    </row>
    <row r="33" spans="1:16" x14ac:dyDescent="0.25">
      <c r="A33" s="10" t="s">
        <v>53</v>
      </c>
      <c r="B33" s="33"/>
      <c r="C33" s="53">
        <v>0</v>
      </c>
      <c r="D33" s="53">
        <v>35</v>
      </c>
      <c r="E33" s="53">
        <v>17.5</v>
      </c>
      <c r="F33" s="53">
        <v>0</v>
      </c>
      <c r="G33" s="54">
        <v>43.75</v>
      </c>
      <c r="H33" s="54">
        <v>0</v>
      </c>
      <c r="I33" s="54">
        <f>8.75*4</f>
        <v>35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0</v>
      </c>
      <c r="P33" s="55">
        <f>SUM(C33:M33)</f>
        <v>131.25</v>
      </c>
    </row>
    <row r="34" spans="1:16" x14ac:dyDescent="0.25">
      <c r="A34" s="10" t="s">
        <v>51</v>
      </c>
      <c r="B34" s="33"/>
      <c r="C34" s="53">
        <f>C27-C29</f>
        <v>95.5</v>
      </c>
      <c r="D34" s="53">
        <f t="shared" ref="D34:O34" si="20">D27-D29</f>
        <v>158</v>
      </c>
      <c r="E34" s="53">
        <f t="shared" si="20"/>
        <v>321.5</v>
      </c>
      <c r="F34" s="53">
        <f t="shared" si="20"/>
        <v>506.5</v>
      </c>
      <c r="G34" s="53">
        <f t="shared" si="20"/>
        <v>258.75</v>
      </c>
      <c r="H34" s="53">
        <f t="shared" si="20"/>
        <v>186</v>
      </c>
      <c r="I34" s="53">
        <f t="shared" si="20"/>
        <v>95.75</v>
      </c>
      <c r="J34" s="53">
        <f t="shared" si="20"/>
        <v>141.5</v>
      </c>
      <c r="K34" s="53">
        <f t="shared" si="20"/>
        <v>207.75</v>
      </c>
      <c r="L34" s="53">
        <f t="shared" si="20"/>
        <v>216.25</v>
      </c>
      <c r="M34" s="53">
        <f t="shared" si="20"/>
        <v>218.25</v>
      </c>
      <c r="N34" s="53">
        <f t="shared" si="20"/>
        <v>248.25</v>
      </c>
      <c r="O34" s="53">
        <f t="shared" si="20"/>
        <v>196.5</v>
      </c>
      <c r="P34" s="55">
        <f>SUM(C34:M34)</f>
        <v>2405.75</v>
      </c>
    </row>
    <row r="35" spans="1:16" ht="30" x14ac:dyDescent="0.25">
      <c r="A35" s="66" t="s">
        <v>55</v>
      </c>
      <c r="B35" s="65"/>
      <c r="C35" s="65"/>
      <c r="D35" s="65"/>
      <c r="E35" s="65"/>
      <c r="F35" s="65"/>
      <c r="G35" s="65"/>
      <c r="H35" s="65"/>
      <c r="I35" s="65"/>
      <c r="J35" s="67">
        <v>4</v>
      </c>
      <c r="K35" s="67">
        <v>5</v>
      </c>
      <c r="L35" s="68">
        <v>0</v>
      </c>
      <c r="M35" s="68">
        <v>4</v>
      </c>
      <c r="N35" s="65">
        <v>5</v>
      </c>
      <c r="O35" s="65">
        <v>8</v>
      </c>
      <c r="P35" s="70">
        <f>SUM(C35:O35)</f>
        <v>26</v>
      </c>
    </row>
    <row r="37" spans="1:16" ht="45" x14ac:dyDescent="0.25">
      <c r="A37" s="56" t="s">
        <v>14</v>
      </c>
      <c r="B37" s="34"/>
      <c r="C37" s="51">
        <v>0</v>
      </c>
      <c r="D37" s="51">
        <v>12</v>
      </c>
      <c r="E37" s="51">
        <v>35</v>
      </c>
      <c r="F37" s="51">
        <v>60</v>
      </c>
      <c r="G37" s="51">
        <v>85</v>
      </c>
      <c r="H37" s="51">
        <v>110</v>
      </c>
      <c r="I37" s="51">
        <v>135</v>
      </c>
      <c r="J37" s="51">
        <v>160</v>
      </c>
      <c r="K37" s="51">
        <v>185</v>
      </c>
      <c r="L37" s="51">
        <v>201</v>
      </c>
      <c r="M37" s="51" t="s">
        <v>49</v>
      </c>
      <c r="N37" s="51"/>
      <c r="O37" s="51"/>
      <c r="P37" s="59">
        <v>201</v>
      </c>
    </row>
    <row r="38" spans="1:16" x14ac:dyDescent="0.25">
      <c r="A38" s="6" t="s">
        <v>50</v>
      </c>
      <c r="B38" s="6"/>
      <c r="C38" s="13">
        <v>0</v>
      </c>
      <c r="D38" s="13">
        <v>12</v>
      </c>
      <c r="E38" s="13">
        <v>35</v>
      </c>
      <c r="F38" s="13">
        <v>60</v>
      </c>
      <c r="G38" s="13"/>
      <c r="H38" s="13"/>
      <c r="I38" s="13"/>
      <c r="J38" s="13"/>
      <c r="K38" s="13"/>
      <c r="L38" s="13"/>
      <c r="M38" s="13"/>
      <c r="N38" s="13"/>
      <c r="O38" s="13"/>
    </row>
    <row r="39" spans="1:16" ht="60" x14ac:dyDescent="0.25">
      <c r="A39" s="56" t="s">
        <v>15</v>
      </c>
      <c r="B39" s="34"/>
      <c r="C39" s="57"/>
      <c r="D39" s="57"/>
      <c r="E39" s="57"/>
      <c r="F39" s="57"/>
      <c r="G39" s="57"/>
      <c r="H39" s="57"/>
      <c r="I39" s="58"/>
      <c r="J39" s="58"/>
      <c r="K39" s="58"/>
      <c r="L39" s="58"/>
      <c r="M39" s="58"/>
      <c r="N39" s="58"/>
      <c r="O39" s="58"/>
      <c r="P39" s="59"/>
    </row>
    <row r="40" spans="1:16" x14ac:dyDescent="0.25">
      <c r="C40" s="9"/>
      <c r="D40" s="9"/>
      <c r="E40" s="9"/>
    </row>
    <row r="41" spans="1:16" x14ac:dyDescent="0.25">
      <c r="C41" s="9"/>
      <c r="D41" s="9"/>
      <c r="E41" s="9"/>
    </row>
    <row r="42" spans="1:16" x14ac:dyDescent="0.25">
      <c r="C42" s="9"/>
      <c r="D42" s="9"/>
      <c r="E42" s="9"/>
    </row>
    <row r="43" spans="1:16" x14ac:dyDescent="0.25">
      <c r="P43" s="32">
        <v>87.5</v>
      </c>
    </row>
    <row r="46" spans="1:16" x14ac:dyDescent="0.25">
      <c r="A46" s="10" t="s">
        <v>11</v>
      </c>
      <c r="B46" s="19"/>
    </row>
    <row r="47" spans="1:16" x14ac:dyDescent="0.25">
      <c r="A47" s="4" t="s">
        <v>21</v>
      </c>
      <c r="B47" s="11"/>
    </row>
    <row r="48" spans="1:16" x14ac:dyDescent="0.25">
      <c r="A48" s="4" t="s">
        <v>20</v>
      </c>
      <c r="B48" s="11"/>
    </row>
    <row r="49" spans="1:2" ht="30" x14ac:dyDescent="0.25">
      <c r="A49" s="18" t="s">
        <v>22</v>
      </c>
      <c r="B49" s="11"/>
    </row>
    <row r="50" spans="1:2" ht="30" x14ac:dyDescent="0.25">
      <c r="A50" s="18" t="s">
        <v>23</v>
      </c>
      <c r="B50" s="11"/>
    </row>
    <row r="51" spans="1:2" ht="45" x14ac:dyDescent="0.25">
      <c r="A51" s="18" t="s">
        <v>24</v>
      </c>
      <c r="B51" s="11"/>
    </row>
    <row r="52" spans="1:2" ht="45" x14ac:dyDescent="0.25">
      <c r="A52" s="18" t="s">
        <v>25</v>
      </c>
      <c r="B52" s="11"/>
    </row>
    <row r="53" spans="1:2" ht="60" x14ac:dyDescent="0.25">
      <c r="A53" s="12" t="s">
        <v>17</v>
      </c>
      <c r="B53" s="16"/>
    </row>
    <row r="54" spans="1:2" ht="45" x14ac:dyDescent="0.25">
      <c r="A54" s="31" t="s">
        <v>18</v>
      </c>
    </row>
    <row r="55" spans="1:2" ht="45" x14ac:dyDescent="0.25">
      <c r="A55" s="31" t="s">
        <v>19</v>
      </c>
    </row>
    <row r="56" spans="1:2" x14ac:dyDescent="0.25">
      <c r="A56" s="3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ITG_ParMed</vt:lpstr>
    </vt:vector>
  </TitlesOfParts>
  <Company>Cardinal Health (EIT Installation)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Narayanankutty, Geetha</dc:creator>
  <cp:lastModifiedBy>Biswas, Koushik</cp:lastModifiedBy>
  <dcterms:created xsi:type="dcterms:W3CDTF">2015-03-12T17:29:16Z</dcterms:created>
  <dcterms:modified xsi:type="dcterms:W3CDTF">2016-06-10T06:49:34Z</dcterms:modified>
</cp:coreProperties>
</file>